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kira\main-c\vector_program\csvs\"/>
    </mc:Choice>
  </mc:AlternateContent>
  <xr:revisionPtr revIDLastSave="0" documentId="13_ncr:1_{82DF00BD-D093-40A0-93EA-E8D09BC0040F}" xr6:coauthVersionLast="47" xr6:coauthVersionMax="47" xr10:uidLastSave="{00000000-0000-0000-0000-000000000000}"/>
  <bookViews>
    <workbookView xWindow="-120" yWindow="-120" windowWidth="29040" windowHeight="15840" xr2:uid="{F3AE2042-9294-4955-934E-449431541FC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1" l="1"/>
  <c r="E26" i="1"/>
  <c r="D26" i="1"/>
  <c r="D5" i="1"/>
  <c r="F2" i="1"/>
  <c r="D2" i="1" l="1"/>
  <c r="E2" i="1"/>
  <c r="D3" i="1"/>
  <c r="E3" i="1"/>
  <c r="F3" i="1"/>
  <c r="D4" i="1"/>
  <c r="E4" i="1"/>
  <c r="F4" i="1"/>
  <c r="E5" i="1" l="1"/>
  <c r="F5" i="1"/>
</calcChain>
</file>

<file path=xl/sharedStrings.xml><?xml version="1.0" encoding="utf-8"?>
<sst xmlns="http://schemas.openxmlformats.org/spreadsheetml/2006/main" count="9" uniqueCount="8">
  <si>
    <t>c</t>
    <phoneticPr fontId="1"/>
  </si>
  <si>
    <t>r</t>
    <phoneticPr fontId="1"/>
  </si>
  <si>
    <t>rep</t>
    <phoneticPr fontId="1"/>
  </si>
  <si>
    <t>day1</t>
    <phoneticPr fontId="1"/>
  </si>
  <si>
    <t>day2</t>
    <phoneticPr fontId="1"/>
  </si>
  <si>
    <t>day3</t>
    <phoneticPr fontId="1"/>
  </si>
  <si>
    <t>before</t>
    <phoneticPr fontId="1"/>
  </si>
  <si>
    <t>after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</si>
</sst>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CCCCC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/>
            </a:pPr>
            <a:r>
              <a:rPr lang="en-US" altLang="ja-JP" sz="2000" b="0"/>
              <a:t>PANAS_N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plus>
            <c:min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minus>
          </c:errBars>
          <c:cat>
            <c:strRef>
              <c:f>Sheet1!$D$1:$F$1</c:f>
              <c:strCache>
                <c:ptCount val="3"/>
                <c:pt idx="0">
                  <c:v>c</c:v>
                </c:pt>
                <c:pt idx="1">
                  <c:v>r</c:v>
                </c:pt>
                <c:pt idx="2">
                  <c:v>rep</c:v>
                </c:pt>
              </c:strCache>
            </c:strRef>
          </c:cat>
          <c:val>
            <c:numRef>
              <c:f>Sheet1!$D$2:$F$2</c:f>
              <c:numCache>
                <c:formatCode>General</c:formatCode>
                <c:ptCount val="3"/>
                <c:pt idx="0">
                  <c:v>2.6770833333333335</c:v>
                </c:pt>
                <c:pt idx="1">
                  <c:v>2.8806818181818183</c:v>
                </c:pt>
                <c:pt idx="2">
                  <c:v>2.8527777777777779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536-9C4D-75169EE1F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328415"/>
        <c:axId val="400327455"/>
      </c:barChart>
      <c:catAx>
        <c:axId val="40032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7455"/>
        <c:crosses val="autoZero"/>
        <c:auto val="1"/>
        <c:lblAlgn val="ctr"/>
        <c:lblOffset val="100"/>
        <c:noMultiLvlLbl val="0"/>
      </c:catAx>
      <c:valAx>
        <c:axId val="400327455"/>
        <c:scaling>
          <c:orientation val="minMax"/>
          <c:max val="6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841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/>
              <a:t>understanding</a:t>
            </a:r>
            <a:endParaRPr lang="ja-JP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plus>
            <c:min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Sheet1!$D$22:$F$22</c:f>
              <c:strCache>
                <c:ptCount val="3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</c:strCache>
            </c:strRef>
          </c:cat>
          <c:val>
            <c:numRef>
              <c:f>Sheet1!$D$23:$F$23</c:f>
              <c:numCache>
                <c:formatCode>General</c:formatCode>
                <c:ptCount val="3"/>
                <c:pt idx="0">
                  <c:v>4.0888999999999998</c:v>
                </c:pt>
                <c:pt idx="1">
                  <c:v>4.2</c:v>
                </c:pt>
                <c:pt idx="2">
                  <c:v>3.7332999999999998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C-4E3F-ADB5-7B081457D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6291295"/>
        <c:axId val="1096291775"/>
      </c:barChart>
      <c:catAx>
        <c:axId val="109629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775"/>
        <c:crosses val="autoZero"/>
        <c:auto val="1"/>
        <c:lblAlgn val="ctr"/>
        <c:lblOffset val="100"/>
        <c:noMultiLvlLbl val="0"/>
      </c:catAx>
      <c:valAx>
        <c:axId val="1096291775"/>
        <c:scaling>
          <c:orientation val="minMax"/>
          <c:max val="5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29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rep bot</a:t>
            </a:r>
            <a:endParaRPr lang="ja-JP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Sheet1!$S$24:$T$24</c:f>
                <c:numCache>
                  <c:formatCode>General</c:formatCode>
                  <c:ptCount val="2"/>
                  <c:pt idx="0">
                    <c:v>13.75</c:v>
                  </c:pt>
                  <c:pt idx="1">
                    <c:v>9.39</c:v>
                  </c:pt>
                </c:numCache>
              </c:numRef>
            </c:plus>
            <c:minus>
              <c:numRef>
                <c:f>Sheet1!$S$24:$T$24</c:f>
                <c:numCache>
                  <c:formatCode>General</c:formatCode>
                  <c:ptCount val="2"/>
                  <c:pt idx="0">
                    <c:v>13.75</c:v>
                  </c:pt>
                  <c:pt idx="1">
                    <c:v>9.39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Sheet1!$S$22:$T$22</c:f>
              <c:strCache>
                <c:ptCount val="2"/>
                <c:pt idx="0">
                  <c:v>before</c:v>
                </c:pt>
                <c:pt idx="1">
                  <c:v>after</c:v>
                </c:pt>
              </c:strCache>
            </c:strRef>
          </c:cat>
          <c:val>
            <c:numRef>
              <c:f>Sheet1!$S$23:$T$23</c:f>
              <c:numCache>
                <c:formatCode>General</c:formatCode>
                <c:ptCount val="2"/>
                <c:pt idx="0">
                  <c:v>200.74</c:v>
                </c:pt>
                <c:pt idx="1">
                  <c:v>176.38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C-4DAB-9BB9-16FB17D8B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7774351"/>
        <c:axId val="1047775311"/>
      </c:barChart>
      <c:catAx>
        <c:axId val="104777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7775311"/>
        <c:crosses val="autoZero"/>
        <c:auto val="1"/>
        <c:lblAlgn val="ctr"/>
        <c:lblOffset val="100"/>
        <c:noMultiLvlLbl val="0"/>
      </c:catAx>
      <c:valAx>
        <c:axId val="1047775311"/>
        <c:scaling>
          <c:orientation val="minMax"/>
          <c:max val="230"/>
          <c:min val="13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777435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306316</xdr:colOff>
      <xdr:row>0</xdr:row>
      <xdr:rowOff>206233</xdr:rowOff>
    </xdr:from>
    <xdr:to>
      <xdr:col>17</xdr:col>
      <xdr:colOff>52316</xdr:colOff>
      <xdr:row>17</xdr:row>
      <xdr:rowOff>130033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1DDCB94A-3051-1A30-A17D-657442844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315603</xdr:colOff>
      <xdr:row>19</xdr:row>
      <xdr:rowOff>220638</xdr:rowOff>
    </xdr:from>
    <xdr:to>
      <xdr:col>17</xdr:col>
      <xdr:colOff>113731</xdr:colOff>
      <xdr:row>36</xdr:row>
      <xdr:rowOff>241678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070974A-D4A6-30B9-04A1-81C0A4E1F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180547</xdr:colOff>
      <xdr:row>20</xdr:row>
      <xdr:rowOff>283</xdr:rowOff>
    </xdr:from>
    <xdr:to>
      <xdr:col>30</xdr:col>
      <xdr:colOff>14216</xdr:colOff>
      <xdr:row>36</xdr:row>
      <xdr:rowOff>28433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4E41D49-E6A6-B58B-0058-CABBA8C44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A4F8-F0EB-472B-A5CB-0B850DAD65FB}">
  <sheetPr codeName="Sheet1"/>
  <dimension ref="A1:T49"/>
  <sheetViews>
    <sheetView tabSelected="1" topLeftCell="A13" zoomScale="67" workbookViewId="0">
      <selection activeCell="V41" sqref="V41"/>
    </sheetView>
  </sheetViews>
  <sheetFormatPr defaultRowHeight="18.75" x14ac:dyDescent="0.4"/>
  <sheetData>
    <row r="1" spans="1:6" x14ac:dyDescent="0.4">
      <c r="A1" t="s">
        <v>0</v>
      </c>
      <c r="D1" t="s">
        <v>0</v>
      </c>
      <c r="E1" t="s">
        <v>1</v>
      </c>
      <c r="F1" t="s">
        <v>2</v>
      </c>
    </row>
    <row r="2" spans="1:6" x14ac:dyDescent="0.4">
      <c r="A2" s="1">
        <v>1.625</v>
      </c>
      <c r="B2" s="1">
        <v>3.875</v>
      </c>
      <c r="C2" s="1">
        <v>3.25</v>
      </c>
      <c r="D2">
        <f>AVERAGE(A2:A114)</f>
        <v>2.6770833333333335</v>
      </c>
      <c r="E2">
        <f>AVERAGE(B2:B113)</f>
        <v>2.8806818181818183</v>
      </c>
      <c r="F2">
        <f>AVERAGE(C2:C113)</f>
        <v>2.8527777777777779</v>
      </c>
    </row>
    <row r="3" spans="1:6" x14ac:dyDescent="0.4">
      <c r="A3" s="1">
        <v>2.125</v>
      </c>
      <c r="B3" s="1">
        <v>4.125</v>
      </c>
      <c r="C3" s="1">
        <v>3.125</v>
      </c>
      <c r="D3">
        <f>_xlfn.STDEV.S(A2:A114)</f>
        <v>0.99994459066348451</v>
      </c>
      <c r="E3">
        <f>_xlfn.STDEV.S(B2:B113)</f>
        <v>0.91338343085188345</v>
      </c>
      <c r="F3">
        <f>_xlfn.STDEV.S(C2:C113)</f>
        <v>0.83907115552878098</v>
      </c>
    </row>
    <row r="4" spans="1:6" x14ac:dyDescent="0.4">
      <c r="A4" s="1">
        <v>2.5</v>
      </c>
      <c r="B4" s="1">
        <v>1.875</v>
      </c>
      <c r="C4" s="1">
        <v>1.625</v>
      </c>
      <c r="D4">
        <f>COUNT(A2:A114)</f>
        <v>48</v>
      </c>
      <c r="E4">
        <f>COUNT(B2:B113)</f>
        <v>44</v>
      </c>
      <c r="F4">
        <f>COUNT(C2:C113)</f>
        <v>45</v>
      </c>
    </row>
    <row r="5" spans="1:6" x14ac:dyDescent="0.4">
      <c r="A5" s="1">
        <v>2.125</v>
      </c>
      <c r="B5" s="1">
        <v>2.25</v>
      </c>
      <c r="C5" s="1">
        <v>3</v>
      </c>
      <c r="D5">
        <f>D3/SQRT(D4)</f>
        <v>0.14432956964856825</v>
      </c>
      <c r="E5">
        <f>E3/SQRT(E4)</f>
        <v>0.13769773317560108</v>
      </c>
      <c r="F5">
        <f>F3/SQRT(F4)</f>
        <v>0.12508134278144351</v>
      </c>
    </row>
    <row r="6" spans="1:6" x14ac:dyDescent="0.4">
      <c r="A6" s="1">
        <v>1</v>
      </c>
      <c r="B6" s="1">
        <v>2.375</v>
      </c>
      <c r="C6" s="1">
        <v>1.25</v>
      </c>
    </row>
    <row r="7" spans="1:6" x14ac:dyDescent="0.4">
      <c r="A7" s="1">
        <v>2.375</v>
      </c>
      <c r="B7" s="1">
        <v>4.125</v>
      </c>
      <c r="C7" s="1">
        <v>2</v>
      </c>
    </row>
    <row r="8" spans="1:6" x14ac:dyDescent="0.4">
      <c r="A8" s="1">
        <v>2.25</v>
      </c>
      <c r="B8" s="1">
        <v>2.25</v>
      </c>
      <c r="C8" s="1">
        <v>2.625</v>
      </c>
    </row>
    <row r="9" spans="1:6" x14ac:dyDescent="0.4">
      <c r="A9" s="1">
        <v>3.375</v>
      </c>
      <c r="B9" s="1">
        <v>2.5</v>
      </c>
      <c r="C9" s="1">
        <v>4.625</v>
      </c>
    </row>
    <row r="10" spans="1:6" x14ac:dyDescent="0.4">
      <c r="A10" s="1">
        <v>1</v>
      </c>
      <c r="B10" s="1">
        <v>1.875</v>
      </c>
      <c r="C10" s="1">
        <v>2.25</v>
      </c>
    </row>
    <row r="11" spans="1:6" x14ac:dyDescent="0.4">
      <c r="A11" s="1">
        <v>1.625</v>
      </c>
      <c r="B11" s="1">
        <v>2.125</v>
      </c>
      <c r="C11" s="1">
        <v>3.5</v>
      </c>
    </row>
    <row r="12" spans="1:6" x14ac:dyDescent="0.4">
      <c r="A12" s="1">
        <v>2.875</v>
      </c>
      <c r="B12" s="1">
        <v>2.625</v>
      </c>
      <c r="C12" s="1">
        <v>3.25</v>
      </c>
    </row>
    <row r="13" spans="1:6" x14ac:dyDescent="0.4">
      <c r="A13" s="1">
        <v>3.375</v>
      </c>
      <c r="B13" s="1">
        <v>2.75</v>
      </c>
      <c r="C13" s="1">
        <v>2.25</v>
      </c>
    </row>
    <row r="14" spans="1:6" x14ac:dyDescent="0.4">
      <c r="A14" s="1">
        <v>4</v>
      </c>
      <c r="B14" s="1">
        <v>2.375</v>
      </c>
      <c r="C14" s="1">
        <v>1</v>
      </c>
    </row>
    <row r="15" spans="1:6" x14ac:dyDescent="0.4">
      <c r="A15" s="1">
        <v>3.375</v>
      </c>
      <c r="B15" s="1">
        <v>3.625</v>
      </c>
      <c r="C15" s="1">
        <v>3.25</v>
      </c>
    </row>
    <row r="16" spans="1:6" x14ac:dyDescent="0.4">
      <c r="A16" s="1">
        <v>3.5</v>
      </c>
      <c r="B16" s="1">
        <v>2.75</v>
      </c>
      <c r="C16" s="1">
        <v>2.125</v>
      </c>
    </row>
    <row r="17" spans="1:20" x14ac:dyDescent="0.4">
      <c r="A17" s="1">
        <v>3</v>
      </c>
      <c r="B17" s="1">
        <v>3.125</v>
      </c>
      <c r="C17" s="1">
        <v>2.875</v>
      </c>
    </row>
    <row r="18" spans="1:20" x14ac:dyDescent="0.4">
      <c r="A18" s="1">
        <v>3.375</v>
      </c>
      <c r="B18" s="1">
        <v>2.5</v>
      </c>
      <c r="C18" s="1">
        <v>2.875</v>
      </c>
    </row>
    <row r="19" spans="1:20" x14ac:dyDescent="0.4">
      <c r="A19" s="1">
        <v>3.125</v>
      </c>
      <c r="B19" s="1">
        <v>1.5</v>
      </c>
      <c r="C19" s="1">
        <v>3.75</v>
      </c>
    </row>
    <row r="20" spans="1:20" x14ac:dyDescent="0.4">
      <c r="A20" s="1">
        <v>4.5</v>
      </c>
      <c r="B20" s="1">
        <v>3.5</v>
      </c>
      <c r="C20" s="1">
        <v>2.875</v>
      </c>
    </row>
    <row r="21" spans="1:20" x14ac:dyDescent="0.4">
      <c r="A21" s="1">
        <v>2.875</v>
      </c>
      <c r="B21" s="1">
        <v>2</v>
      </c>
      <c r="C21" s="1">
        <v>3.75</v>
      </c>
    </row>
    <row r="22" spans="1:20" x14ac:dyDescent="0.4">
      <c r="A22" s="1">
        <v>3.125</v>
      </c>
      <c r="B22" s="1">
        <v>3.375</v>
      </c>
      <c r="C22" s="1">
        <v>3</v>
      </c>
      <c r="D22" t="s">
        <v>3</v>
      </c>
      <c r="E22" t="s">
        <v>4</v>
      </c>
      <c r="F22" t="s">
        <v>5</v>
      </c>
      <c r="S22" t="s">
        <v>6</v>
      </c>
      <c r="T22" t="s">
        <v>7</v>
      </c>
    </row>
    <row r="23" spans="1:20" x14ac:dyDescent="0.4">
      <c r="A23" s="1">
        <v>2.5</v>
      </c>
      <c r="B23" s="1">
        <v>1</v>
      </c>
      <c r="C23" s="1">
        <v>3.375</v>
      </c>
      <c r="D23">
        <v>4.0888999999999998</v>
      </c>
      <c r="E23">
        <v>4.2</v>
      </c>
      <c r="F23">
        <v>3.7332999999999998</v>
      </c>
      <c r="S23">
        <v>200.74</v>
      </c>
      <c r="T23">
        <v>176.38</v>
      </c>
    </row>
    <row r="24" spans="1:20" x14ac:dyDescent="0.4">
      <c r="A24" s="1">
        <v>2.875</v>
      </c>
      <c r="B24" s="1">
        <v>2.875</v>
      </c>
      <c r="C24" s="1">
        <v>2</v>
      </c>
      <c r="D24" s="1">
        <v>0.82079999999999997</v>
      </c>
      <c r="E24" s="1">
        <v>0.75680000000000003</v>
      </c>
      <c r="F24" s="1">
        <v>1.0313000000000001</v>
      </c>
      <c r="S24">
        <v>13.75</v>
      </c>
      <c r="T24">
        <v>9.39</v>
      </c>
    </row>
    <row r="25" spans="1:20" x14ac:dyDescent="0.4">
      <c r="A25" s="1">
        <v>2.125</v>
      </c>
      <c r="B25" s="1">
        <v>2</v>
      </c>
      <c r="C25" s="1">
        <v>3.625</v>
      </c>
      <c r="D25" s="1">
        <v>45</v>
      </c>
      <c r="E25" s="1">
        <v>45</v>
      </c>
      <c r="F25" s="1">
        <v>45</v>
      </c>
    </row>
    <row r="26" spans="1:20" x14ac:dyDescent="0.4">
      <c r="A26" s="1">
        <v>3.125</v>
      </c>
      <c r="B26" s="1">
        <v>4.125</v>
      </c>
      <c r="C26" s="1">
        <v>4.5</v>
      </c>
      <c r="D26">
        <f>D24/SQRT(D25)</f>
        <v>0.12235763972878848</v>
      </c>
      <c r="E26">
        <f t="shared" ref="E26:F26" si="0">E24/SQRT(E25)</f>
        <v>0.11281708302478939</v>
      </c>
      <c r="F26">
        <f t="shared" si="0"/>
        <v>0.15373712701303555</v>
      </c>
    </row>
    <row r="27" spans="1:20" x14ac:dyDescent="0.4">
      <c r="A27" s="1">
        <v>2.25</v>
      </c>
      <c r="B27" s="1">
        <v>3.75</v>
      </c>
      <c r="C27" s="1">
        <v>3.375</v>
      </c>
    </row>
    <row r="28" spans="1:20" x14ac:dyDescent="0.4">
      <c r="A28" s="1">
        <v>2.375</v>
      </c>
      <c r="B28" s="1">
        <v>3.125</v>
      </c>
      <c r="C28" s="1">
        <v>3.125</v>
      </c>
    </row>
    <row r="29" spans="1:20" x14ac:dyDescent="0.4">
      <c r="A29" s="1">
        <v>3</v>
      </c>
      <c r="B29" s="1">
        <v>2.75</v>
      </c>
      <c r="C29" s="1">
        <v>2.125</v>
      </c>
    </row>
    <row r="30" spans="1:20" x14ac:dyDescent="0.4">
      <c r="A30" s="1">
        <v>2.625</v>
      </c>
      <c r="B30" s="1">
        <v>2.625</v>
      </c>
      <c r="C30" s="1">
        <v>1.375</v>
      </c>
    </row>
    <row r="31" spans="1:20" x14ac:dyDescent="0.4">
      <c r="A31" s="1">
        <v>2.375</v>
      </c>
      <c r="B31" s="1">
        <v>2</v>
      </c>
      <c r="C31" s="1">
        <v>3.5</v>
      </c>
    </row>
    <row r="32" spans="1:20" x14ac:dyDescent="0.4">
      <c r="A32" s="1">
        <v>1.375</v>
      </c>
      <c r="B32" s="1">
        <v>3.375</v>
      </c>
      <c r="C32" s="1">
        <v>2.75</v>
      </c>
    </row>
    <row r="33" spans="1:3" x14ac:dyDescent="0.4">
      <c r="A33" s="1">
        <v>4.625</v>
      </c>
      <c r="B33" s="1">
        <v>3.75</v>
      </c>
      <c r="C33" s="1">
        <v>3.25</v>
      </c>
    </row>
    <row r="34" spans="1:3" x14ac:dyDescent="0.4">
      <c r="A34" s="1">
        <v>1</v>
      </c>
      <c r="B34" s="1">
        <v>1.125</v>
      </c>
      <c r="C34" s="1">
        <v>1.875</v>
      </c>
    </row>
    <row r="35" spans="1:3" x14ac:dyDescent="0.4">
      <c r="A35" s="1">
        <v>4.5</v>
      </c>
      <c r="B35" s="1">
        <v>3.75</v>
      </c>
      <c r="C35" s="1">
        <v>2.25</v>
      </c>
    </row>
    <row r="36" spans="1:3" x14ac:dyDescent="0.4">
      <c r="A36" s="1">
        <v>2.625</v>
      </c>
      <c r="B36" s="1">
        <v>4.5</v>
      </c>
      <c r="C36" s="1">
        <v>2.375</v>
      </c>
    </row>
    <row r="37" spans="1:3" x14ac:dyDescent="0.4">
      <c r="A37" s="1">
        <v>1.625</v>
      </c>
      <c r="B37" s="1">
        <v>3</v>
      </c>
      <c r="C37" s="1">
        <v>3.75</v>
      </c>
    </row>
    <row r="38" spans="1:3" x14ac:dyDescent="0.4">
      <c r="A38" s="1">
        <v>4.375</v>
      </c>
      <c r="B38" s="1">
        <v>3.125</v>
      </c>
      <c r="C38" s="1">
        <v>3.125</v>
      </c>
    </row>
    <row r="39" spans="1:3" x14ac:dyDescent="0.4">
      <c r="A39" s="1">
        <v>2.625</v>
      </c>
      <c r="B39" s="1">
        <v>3.375</v>
      </c>
      <c r="C39" s="1">
        <v>2.875</v>
      </c>
    </row>
    <row r="40" spans="1:3" x14ac:dyDescent="0.4">
      <c r="A40" s="1">
        <v>1.5</v>
      </c>
      <c r="B40" s="1">
        <v>3.375</v>
      </c>
      <c r="C40" s="1">
        <v>3.625</v>
      </c>
    </row>
    <row r="41" spans="1:3" x14ac:dyDescent="0.4">
      <c r="A41" s="1">
        <v>4</v>
      </c>
      <c r="B41" s="1">
        <v>1</v>
      </c>
      <c r="C41" s="1">
        <v>3.25</v>
      </c>
    </row>
    <row r="42" spans="1:3" x14ac:dyDescent="0.4">
      <c r="A42" s="1">
        <v>4.125</v>
      </c>
      <c r="B42" s="1">
        <v>3.5</v>
      </c>
      <c r="C42" s="1">
        <v>4.625</v>
      </c>
    </row>
    <row r="43" spans="1:3" x14ac:dyDescent="0.4">
      <c r="A43" s="1">
        <v>2.875</v>
      </c>
      <c r="B43" s="1">
        <v>4.625</v>
      </c>
      <c r="C43" s="1">
        <v>2.125</v>
      </c>
    </row>
    <row r="44" spans="1:3" x14ac:dyDescent="0.4">
      <c r="A44" s="1">
        <v>3.125</v>
      </c>
      <c r="B44" s="1">
        <v>2.625</v>
      </c>
      <c r="C44" s="1">
        <v>2.5</v>
      </c>
    </row>
    <row r="45" spans="1:3" x14ac:dyDescent="0.4">
      <c r="A45" s="1">
        <v>3.75</v>
      </c>
      <c r="B45" s="1">
        <v>3.875</v>
      </c>
      <c r="C45" s="1">
        <v>2</v>
      </c>
    </row>
    <row r="46" spans="1:3" x14ac:dyDescent="0.4">
      <c r="A46" s="1">
        <v>2.25</v>
      </c>
      <c r="C46" s="1">
        <v>2.75</v>
      </c>
    </row>
    <row r="47" spans="1:3" x14ac:dyDescent="0.4">
      <c r="A47" s="1">
        <v>1</v>
      </c>
    </row>
    <row r="48" spans="1:3" x14ac:dyDescent="0.4">
      <c r="A48" s="1">
        <v>1.75</v>
      </c>
    </row>
    <row r="49" spans="1:1" x14ac:dyDescent="0.4">
      <c r="A49" s="1"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 nakahara</dc:creator>
  <cp:lastModifiedBy>akira nakahara</cp:lastModifiedBy>
  <dcterms:created xsi:type="dcterms:W3CDTF">2024-08-07T02:59:54Z</dcterms:created>
  <dcterms:modified xsi:type="dcterms:W3CDTF">2024-10-09T16:41:08Z</dcterms:modified>
</cp:coreProperties>
</file>